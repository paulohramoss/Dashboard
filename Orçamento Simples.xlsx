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Resumo da Exportação" sheetId="1" r:id="rId5"/>
    <sheet name="Orçamento - Rendimentos" sheetId="2" r:id="rId6"/>
    <sheet name="Orçamento - Despesas" sheetId="3" r:id="rId7"/>
    <sheet name="Orçamento - Rede" sheetId="4" r:id="rId8"/>
    <sheet name="Orçamento - Desenhos" sheetId="5" r:id="rId9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<sst xmlns="http://schemas.openxmlformats.org/spreadsheetml/2006/main" uniqueCount="30">
  <si>
    <t>Este documento foi exportado do Numbers. Cada tabela foi convertida em uma folha do Excel. Todos os outros objetos em cada folha do Numbers foram colocados em folhas à parte. Esteja ciente de que os cálculos de fórmulas podem ser diferentes no Excel.</t>
  </si>
  <si>
    <t>Nome da Folha do Numbers</t>
  </si>
  <si>
    <t>Nome da Tabela do Numbers</t>
  </si>
  <si>
    <t>Nome da Planilha do Excel</t>
  </si>
  <si>
    <t>Orçamento</t>
  </si>
  <si>
    <t>Rendimentos</t>
  </si>
  <si>
    <t>Orçamento - Rendimentos</t>
  </si>
  <si>
    <t>Dinheiro Entrando</t>
  </si>
  <si>
    <t>Salário</t>
  </si>
  <si>
    <t>Rendimentos totais</t>
  </si>
  <si>
    <t>Despesas</t>
  </si>
  <si>
    <t>Orçamento - Despesas</t>
  </si>
  <si>
    <t>Dinheiro Saindo</t>
  </si>
  <si>
    <t>Hamcom</t>
  </si>
  <si>
    <t>Apple</t>
  </si>
  <si>
    <t>Playstation</t>
  </si>
  <si>
    <t>Claro</t>
  </si>
  <si>
    <t>Spotify</t>
  </si>
  <si>
    <t>Crunchyroll</t>
  </si>
  <si>
    <t>YouTube</t>
  </si>
  <si>
    <t>Carro</t>
  </si>
  <si>
    <t>Mãe</t>
  </si>
  <si>
    <t>Casa</t>
  </si>
  <si>
    <t>Despesas totais</t>
  </si>
  <si>
    <t>Rede</t>
  </si>
  <si>
    <t>Orçamento - Rede</t>
  </si>
  <si>
    <t>Dinheiro Restante</t>
  </si>
  <si>
    <t>Rendimentos menos despesas</t>
  </si>
  <si>
    <t>“Todos os Desenhos da Folha”</t>
  </si>
  <si>
    <t>Orçamento - Desenhos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</si>
</sst>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[$R$-416]#,##0"/>
    <numFmt numFmtId="60" formatCode="#,##0%"/>
  </numFmts>
  <fonts count="9">
    <font>
      <sz val="10"/>
      <color indexed="8"/>
      <name val="Helvetica Neue"/>
    </font>
    <font>
      <sz val="12"/>
      <color indexed="8"/>
      <name val="Helvetica Neue"/>
    </font>
    <font>
      <sz val="14"/>
      <color indexed="8"/>
      <name val="Helvetica Neue"/>
    </font>
    <font>
      <u val="single"/>
      <sz val="12"/>
      <color indexed="11"/>
      <name val="Helvetica Neue"/>
    </font>
    <font>
      <b val="1"/>
      <sz val="10"/>
      <color indexed="12"/>
      <name val="Helvetica Neue"/>
    </font>
    <font>
      <sz val="10"/>
      <color indexed="8"/>
      <name val="Helvetica Neue Medium"/>
    </font>
    <font>
      <b val="1"/>
      <sz val="10"/>
      <color indexed="8"/>
      <name val="Helvetica Neue"/>
    </font>
    <font>
      <sz val="12"/>
      <color indexed="12"/>
      <name val="Helvetica Neue"/>
    </font>
    <font>
      <b val="1"/>
      <sz val="24"/>
      <color indexed="8"/>
      <name val="Helvetica Neue"/>
    </font>
  </fonts>
  <fills count="9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</fills>
  <borders count="12">
    <border>
      <left/>
      <right/>
      <top/>
      <bottom/>
      <diagonal/>
    </border>
    <border>
      <left style="thin">
        <color indexed="14"/>
      </left>
      <right style="thin">
        <color indexed="12"/>
      </right>
      <top style="thin">
        <color indexed="14"/>
      </top>
      <bottom style="thin">
        <color indexed="15"/>
      </bottom>
      <diagonal/>
    </border>
    <border>
      <left style="thin">
        <color indexed="12"/>
      </left>
      <right style="thin">
        <color indexed="14"/>
      </right>
      <top style="thin">
        <color indexed="14"/>
      </top>
      <bottom style="thin">
        <color indexed="15"/>
      </bottom>
      <diagonal/>
    </border>
    <border>
      <left style="thin">
        <color indexed="14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indexed="15"/>
      </left>
      <right style="thin">
        <color indexed="14"/>
      </right>
      <top style="thin">
        <color indexed="15"/>
      </top>
      <bottom style="thin">
        <color indexed="15"/>
      </bottom>
      <diagonal/>
    </border>
    <border>
      <left style="thin">
        <color indexed="14"/>
      </left>
      <right style="thin">
        <color indexed="14"/>
      </right>
      <top style="thin">
        <color indexed="15"/>
      </top>
      <bottom style="thin">
        <color indexed="14"/>
      </bottom>
      <diagonal/>
    </border>
    <border>
      <left style="thin">
        <color indexed="14"/>
      </left>
      <right style="thin">
        <color indexed="15"/>
      </right>
      <top style="thin">
        <color indexed="15"/>
      </top>
      <bottom style="thin">
        <color indexed="14"/>
      </bottom>
      <diagonal/>
    </border>
    <border>
      <left style="thin">
        <color indexed="15"/>
      </left>
      <right style="thin">
        <color indexed="14"/>
      </right>
      <top style="thin">
        <color indexed="15"/>
      </top>
      <bottom style="thin">
        <color indexed="14"/>
      </bottom>
      <diagonal/>
    </border>
    <border>
      <left style="thin">
        <color indexed="14"/>
      </left>
      <right style="thin">
        <color indexed="15"/>
      </right>
      <top style="thin">
        <color indexed="14"/>
      </top>
      <bottom style="thin">
        <color indexed="14"/>
      </bottom>
      <diagonal/>
    </border>
    <border>
      <left style="thin">
        <color indexed="15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 style="thin">
        <color indexed="15"/>
      </right>
      <top style="thin">
        <color indexed="14"/>
      </top>
      <bottom style="thin">
        <color indexed="15"/>
      </bottom>
      <diagonal/>
    </border>
    <border>
      <left style="thin">
        <color indexed="15"/>
      </left>
      <right style="thin">
        <color indexed="14"/>
      </right>
      <top style="thin">
        <color indexed="14"/>
      </top>
      <bottom style="thin">
        <color indexed="15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6">
    <xf numFmtId="0" fontId="0" applyNumberFormat="0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left" vertical="top" wrapText="1"/>
    </xf>
    <xf numFmtId="0" fontId="2" applyNumberFormat="0" applyFont="1" applyFill="0" applyBorder="0" applyAlignment="1" applyProtection="0">
      <alignment horizontal="left" vertical="top" wrapText="1"/>
    </xf>
    <xf numFmtId="0" fontId="1" fillId="2" applyNumberFormat="0" applyFont="1" applyFill="1" applyBorder="0" applyAlignment="1" applyProtection="0">
      <alignment horizontal="left" vertical="top" wrapText="1"/>
    </xf>
    <xf numFmtId="0" fontId="1" fillId="3" applyNumberFormat="0" applyFont="1" applyFill="1" applyBorder="0" applyAlignment="1" applyProtection="0">
      <alignment horizontal="left" vertical="top" wrapText="1"/>
    </xf>
    <xf numFmtId="0" fontId="3" fillId="3" applyNumberFormat="0" applyFont="1" applyFill="1" applyBorder="0" applyAlignment="1" applyProtection="0">
      <alignment horizontal="left" vertical="top" wrapText="1"/>
    </xf>
    <xf numFmtId="0" fontId="0" applyNumberFormat="1" applyFont="1" applyFill="0" applyBorder="0" applyAlignment="1" applyProtection="0">
      <alignment vertical="top" wrapText="1"/>
    </xf>
    <xf numFmtId="49" fontId="4" fillId="4" borderId="1" applyNumberFormat="1" applyFont="1" applyFill="1" applyBorder="1" applyAlignment="1" applyProtection="0">
      <alignment vertical="top" wrapText="1"/>
    </xf>
    <xf numFmtId="0" fontId="4" fillId="4" borderId="2" applyNumberFormat="0" applyFont="1" applyFill="1" applyBorder="1" applyAlignment="1" applyProtection="0">
      <alignment vertical="top" wrapText="1"/>
    </xf>
    <xf numFmtId="49" fontId="5" borderId="3" applyNumberFormat="1" applyFont="1" applyFill="0" applyBorder="1" applyAlignment="1" applyProtection="0">
      <alignment vertical="top" wrapText="1"/>
    </xf>
    <xf numFmtId="59" fontId="0" borderId="4" applyNumberFormat="1" applyFont="1" applyFill="0" applyBorder="1" applyAlignment="1" applyProtection="0">
      <alignment vertical="top" wrapText="1"/>
    </xf>
    <xf numFmtId="49" fontId="6" fillId="5" borderId="5" applyNumberFormat="1" applyFont="1" applyFill="1" applyBorder="1" applyAlignment="1" applyProtection="0">
      <alignment vertical="top" wrapText="1"/>
    </xf>
    <xf numFmtId="59" fontId="6" fillId="5" borderId="5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4" fillId="6" borderId="1" applyNumberFormat="1" applyFont="1" applyFill="1" applyBorder="1" applyAlignment="1" applyProtection="0">
      <alignment vertical="top" wrapText="1"/>
    </xf>
    <xf numFmtId="0" fontId="4" fillId="6" borderId="2" applyNumberFormat="0" applyFont="1" applyFill="1" applyBorder="1" applyAlignment="1" applyProtection="0">
      <alignment vertical="top" wrapText="1"/>
    </xf>
    <xf numFmtId="49" fontId="5" borderId="6" applyNumberFormat="1" applyFont="1" applyFill="0" applyBorder="1" applyAlignment="1" applyProtection="0">
      <alignment vertical="top" wrapText="1"/>
    </xf>
    <xf numFmtId="59" fontId="0" borderId="7" applyNumberFormat="1" applyFont="1" applyFill="0" applyBorder="1" applyAlignment="1" applyProtection="0">
      <alignment vertical="top" wrapText="1"/>
    </xf>
    <xf numFmtId="49" fontId="5" borderId="8" applyNumberFormat="1" applyFont="1" applyFill="0" applyBorder="1" applyAlignment="1" applyProtection="0">
      <alignment vertical="top" wrapText="1"/>
    </xf>
    <xf numFmtId="59" fontId="0" fillId="7" borderId="9" applyNumberFormat="1" applyFont="1" applyFill="1" applyBorder="1" applyAlignment="1" applyProtection="0">
      <alignment vertical="top" wrapText="1"/>
    </xf>
    <xf numFmtId="59" fontId="0" borderId="9" applyNumberFormat="1" applyFont="1" applyFill="0" applyBorder="1" applyAlignment="1" applyProtection="0">
      <alignment vertical="top" wrapText="1"/>
    </xf>
    <xf numFmtId="49" fontId="5" borderId="10" applyNumberFormat="1" applyFont="1" applyFill="0" applyBorder="1" applyAlignment="1" applyProtection="0">
      <alignment vertical="top" wrapText="1"/>
    </xf>
    <xf numFmtId="59" fontId="0" fillId="7" borderId="11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4" fillId="8" borderId="1" applyNumberFormat="1" applyFont="1" applyFill="1" applyBorder="1" applyAlignment="1" applyProtection="0">
      <alignment vertical="top" wrapText="1"/>
    </xf>
    <xf numFmtId="0" fontId="4" fillId="8" borderId="2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fefffe"/>
      <rgbColor rgb="ff60d837"/>
      <rgbColor rgb="ffc8c8c8"/>
      <rgbColor rgb="ff89847f"/>
      <rgbColor rgb="ffececea"/>
      <rgbColor rgb="ffff2500"/>
      <rgbColor rgb="fff7f7f6"/>
      <rgbColor rgb="ff00a2ff"/>
      <rgbColor rgb="ff919191"/>
      <rgbColor rgb="fff8ba00"/>
      <rgbColor rgb="fffe250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/Relationships>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rich>
          <a:bodyPr rot="0"/>
          <a:lstStyle/>
          <a:p>
            <a:pPr>
              <a:defRPr b="0" i="0" strike="noStrike" sz="1200" u="none">
                <a:solidFill>
                  <a:srgbClr val="000000"/>
                </a:solidFill>
                <a:latin typeface="Helvetica Neue"/>
              </a:defRPr>
            </a:pPr>
            <a:r>
              <a:rPr b="0" i="0" strike="noStrike" sz="1200" u="none">
                <a:solidFill>
                  <a:srgbClr val="000000"/>
                </a:solidFill>
                <a:latin typeface="Helvetica Neue"/>
              </a:rPr>
              <a:t>Dinheiro Saindo</a:t>
            </a:r>
          </a:p>
        </c:rich>
      </c:tx>
      <c:layout>
        <c:manualLayout>
          <c:xMode val="edge"/>
          <c:yMode val="edge"/>
          <c:x val="0.323649"/>
          <c:y val="0"/>
          <c:w val="0.384376"/>
          <c:h val="0.0892007"/>
        </c:manualLayout>
      </c:layout>
      <c:overlay val="1"/>
      <c:spPr>
        <a:noFill/>
        <a:effectLst/>
      </c:spPr>
    </c:title>
    <c:autoTitleDeleted val="1"/>
    <c:plotArea>
      <c:layout>
        <c:manualLayout>
          <c:layoutTarget val="inner"/>
          <c:xMode val="edge"/>
          <c:yMode val="edge"/>
          <c:x val="0.0316742"/>
          <c:y val="0.0892007"/>
          <c:w val="0.963326"/>
          <c:h val="0.734778"/>
        </c:manualLayout>
      </c:layout>
      <c:doughnutChart>
        <c:varyColors val="0"/>
        <c:ser>
          <c:idx val="0"/>
          <c:order val="0"/>
          <c:tx>
            <c:strRef>
              <c:f>'Orçamento - Despesas'!$B$1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explosion val="0"/>
          <c:dPt>
            <c:idx val="0"/>
            <c:explosion val="0"/>
            <c:spPr>
              <a:solidFill>
                <a:schemeClr val="accent1"/>
              </a:solidFill>
              <a:ln w="12700" cap="flat">
                <a:noFill/>
                <a:miter lim="400000"/>
              </a:ln>
              <a:effectLst/>
            </c:spPr>
          </c:dPt>
          <c:dPt>
            <c:idx val="1"/>
            <c:explosion val="0"/>
            <c:spPr>
              <a:solidFill>
                <a:schemeClr val="accent3"/>
              </a:solidFill>
              <a:ln w="12700" cap="flat">
                <a:noFill/>
                <a:miter lim="400000"/>
              </a:ln>
              <a:effectLst/>
            </c:spPr>
          </c:dPt>
          <c:dPt>
            <c:idx val="2"/>
            <c:explosion val="0"/>
            <c:spPr>
              <a:solidFill>
                <a:srgbClr val="929292"/>
              </a:solidFill>
              <a:ln w="12700" cap="flat">
                <a:noFill/>
                <a:miter lim="400000"/>
              </a:ln>
              <a:effectLst/>
            </c:spPr>
          </c:dPt>
          <c:dPt>
            <c:idx val="3"/>
            <c:explosion val="0"/>
            <c:spPr>
              <a:solidFill>
                <a:srgbClr val="F8BA00"/>
              </a:solidFill>
              <a:ln w="12700" cap="flat">
                <a:noFill/>
                <a:miter lim="400000"/>
              </a:ln>
              <a:effectLst/>
            </c:spPr>
          </c:dPt>
          <c:dPt>
            <c:idx val="4"/>
            <c:explosion val="0"/>
            <c:spPr>
              <a:solidFill>
                <a:srgbClr val="FF2600"/>
              </a:solidFill>
              <a:ln w="12700" cap="flat">
                <a:noFill/>
                <a:miter lim="400000"/>
              </a:ln>
              <a:effectLst/>
            </c:spPr>
          </c:dPt>
          <c:dPt>
            <c:idx val="5"/>
            <c:explosion val="0"/>
            <c:spPr>
              <a:solidFill>
                <a:schemeClr val="accent6">
                  <a:satOff val="-20754"/>
                  <a:lumOff val="-16738"/>
                </a:schemeClr>
              </a:solidFill>
              <a:ln w="12700" cap="flat">
                <a:noFill/>
                <a:miter lim="400000"/>
              </a:ln>
              <a:effectLst/>
            </c:spPr>
          </c:dPt>
          <c:dLbls>
            <c:dLbl>
              <c:idx val="0"/>
              <c:numFmt formatCode="#,##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FFFFFF"/>
                      </a:solidFill>
                      <a:latin typeface="Helvetica Neue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numFmt formatCode="#,##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FFFFFF"/>
                      </a:solidFill>
                      <a:latin typeface="Helvetica Neue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2"/>
              <c:numFmt formatCode="#,##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FFFFFF"/>
                      </a:solidFill>
                      <a:latin typeface="Helvetica Neue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3"/>
              <c:numFmt formatCode="#,##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FFFFFF"/>
                      </a:solidFill>
                      <a:latin typeface="Helvetica Neue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4"/>
              <c:numFmt formatCode="#,##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FFFFFF"/>
                      </a:solidFill>
                      <a:latin typeface="Helvetica Neue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5"/>
              <c:numFmt formatCode="#,##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FFFFFF"/>
                      </a:solidFill>
                      <a:latin typeface="Helvetica Neue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numFmt formatCode="#,##0%" sourceLinked="0"/>
            <c:txPr>
              <a:bodyPr/>
              <a:lstStyle/>
              <a:p>
                <a:pPr>
                  <a:defRPr b="0" i="0" strike="noStrike" sz="120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leaderLines>
              <c:spPr>
                <a:noFill/>
                <a:ln w="6350" cap="flat">
                  <a:solidFill>
                    <a:srgbClr val="000000"/>
                  </a:solidFill>
                  <a:prstDash val="solid"/>
                  <a:miter lim="400000"/>
                </a:ln>
                <a:effectLst/>
              </c:spPr>
            </c:leaderLines>
          </c:dLbls>
          <c:cat>
            <c:strRef>
              <c:f>'Orçamento - Despesas'!$A$2:$A$7</c:f>
              <c:strCache>
                <c:ptCount val="6"/>
                <c:pt idx="0">
                  <c:v>Hamcom</c:v>
                </c:pt>
                <c:pt idx="1">
                  <c:v>Apple</c:v>
                </c:pt>
                <c:pt idx="2">
                  <c:v>Playstation</c:v>
                </c:pt>
                <c:pt idx="3">
                  <c:v>Claro</c:v>
                </c:pt>
                <c:pt idx="4">
                  <c:v>Spotify</c:v>
                </c:pt>
                <c:pt idx="5">
                  <c:v>Crunchyroll</c:v>
                </c:pt>
              </c:strCache>
            </c:strRef>
          </c:cat>
          <c:val>
            <c:numRef>
              <c:f>'Orçamento - Despesas'!$B$2:$B$7</c:f>
              <c:numCache>
                <c:ptCount val="6"/>
                <c:pt idx="0">
                  <c:v>109.000000</c:v>
                </c:pt>
                <c:pt idx="1">
                  <c:v>111.500000</c:v>
                </c:pt>
                <c:pt idx="2">
                  <c:v>128.520000</c:v>
                </c:pt>
                <c:pt idx="3">
                  <c:v>45.000000</c:v>
                </c:pt>
                <c:pt idx="4">
                  <c:v>40.000000</c:v>
                </c:pt>
                <c:pt idx="5">
                  <c:v>20.000000</c:v>
                </c:pt>
              </c:numCache>
            </c:numRef>
          </c:val>
        </c:ser>
        <c:firstSliceAng val="0"/>
        <c:holeSize val="50"/>
      </c:doughnutChart>
      <c:spPr>
        <a:noFill/>
        <a:ln w="12700" cap="flat">
          <a:noFill/>
          <a:miter lim="400000"/>
        </a:ln>
        <a:effectLst/>
      </c:spPr>
    </c:plotArea>
    <c:legend>
      <c:legendPos val="b"/>
      <c:layout>
        <c:manualLayout>
          <c:xMode val="edge"/>
          <c:yMode val="edge"/>
          <c:x val="0"/>
          <c:y val="0.906029"/>
          <c:w val="1"/>
          <c:h val="0.0939707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000" u="none">
              <a:solidFill>
                <a:srgbClr val="000000"/>
              </a:solidFill>
              <a:latin typeface="Helvetica Neue"/>
            </a:defRPr>
          </a:pPr>
        </a:p>
      </c:txPr>
    </c:legend>
    <c:plotVisOnly val="1"/>
    <c:dispBlanksAs val="gap"/>
  </c:chart>
  <c:spPr>
    <a:noFill/>
    <a:ln>
      <a:noFill/>
    </a:ln>
    <a:effectLst/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5</xdr:col>
      <xdr:colOff>240884</xdr:colOff>
      <xdr:row>5</xdr:row>
      <xdr:rowOff>80467</xdr:rowOff>
    </xdr:from>
    <xdr:to>
      <xdr:col>9</xdr:col>
      <xdr:colOff>12700</xdr:colOff>
      <xdr:row>27</xdr:row>
      <xdr:rowOff>102194</xdr:rowOff>
    </xdr:to>
    <xdr:graphicFrame>
      <xdr:nvGraphicFramePr>
        <xdr:cNvPr id="2" name="2D Donut Chart"/>
        <xdr:cNvGraphicFramePr/>
      </xdr:nvGraphicFramePr>
      <xdr:xfrm>
        <a:off x="4050884" y="905967"/>
        <a:ext cx="2819817" cy="3653928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12</xdr:col>
      <xdr:colOff>38100</xdr:colOff>
      <xdr:row>3</xdr:row>
      <xdr:rowOff>34917</xdr:rowOff>
    </xdr:to>
    <xdr:sp>
      <xdr:nvSpPr>
        <xdr:cNvPr id="3" name="Orçamento"/>
        <xdr:cNvSpPr/>
      </xdr:nvSpPr>
      <xdr:spPr>
        <a:xfrm>
          <a:off x="-19050" y="-34580"/>
          <a:ext cx="9182100" cy="530219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50800" tIns="50800" rIns="50800" bIns="50800" numCol="1" anchor="t">
          <a:spAutoFit/>
        </a:bodyPr>
        <a:lstStyle/>
        <a:p>
          <a:pPr marL="0" marR="0" indent="0" algn="l" defTabSz="457200" rtl="0" latinLnBrk="0">
            <a:lnSpc>
              <a:spcPct val="100000"/>
            </a:lnSpc>
            <a:spcBef>
              <a:spcPts val="1200"/>
            </a:spcBef>
            <a:spcAft>
              <a:spcPts val="0"/>
            </a:spcAft>
            <a:buClrTx/>
            <a:buSzTx/>
            <a:buFontTx/>
            <a:buNone/>
            <a:defRPr b="1" baseline="0" cap="none" i="0" spc="-24" strike="noStrike" sz="24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1" baseline="0" cap="none" i="0" spc="-24" strike="noStrike" sz="24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Orçamento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21_Simple_Budget">
  <a:themeElements>
    <a:clrScheme name="21_Simple_Budget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21_Simple_Budget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21_Simple_Budget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 showGridLines="0" defaultGridColor="1"/>
  </sheetViews>
  <sheetFormatPr defaultColWidth="10" defaultRowHeight="13" customHeight="1" outlineLevelRow="0" outlineLevelCol="0"/>
  <cols>
    <col min="1" max="1" width="2" customWidth="1"/>
    <col min="2" max="4" width="33.6016" customWidth="1"/>
  </cols>
  <sheetData>
    <row r="3" ht="50" customHeight="1">
      <c r="B3" t="s" s="1">
        <v>0</v>
      </c>
      <c r="C3"/>
      <c r="D3"/>
    </row>
    <row r="7">
      <c r="B7" t="s" s="2">
        <v>1</v>
      </c>
      <c r="C7" t="s" s="2">
        <v>2</v>
      </c>
      <c r="D7" t="s" s="2">
        <v>3</v>
      </c>
    </row>
    <row r="9">
      <c r="B9" t="s" s="3">
        <v>4</v>
      </c>
      <c r="C9" s="3"/>
      <c r="D9" s="3"/>
    </row>
    <row r="10">
      <c r="B10" s="4"/>
      <c r="C10" t="s" s="4">
        <v>5</v>
      </c>
      <c r="D10" t="s" s="5">
        <v>6</v>
      </c>
    </row>
    <row r="11">
      <c r="B11" s="4"/>
      <c r="C11" t="s" s="4">
        <v>10</v>
      </c>
      <c r="D11" t="s" s="5">
        <v>11</v>
      </c>
    </row>
    <row r="12">
      <c r="B12" s="4"/>
      <c r="C12" t="s" s="4">
        <v>24</v>
      </c>
      <c r="D12" t="s" s="5">
        <v>25</v>
      </c>
    </row>
    <row r="13">
      <c r="B13" s="4"/>
      <c r="C13" t="s" s="4">
        <v>28</v>
      </c>
      <c r="D13" t="s" s="5">
        <v>29</v>
      </c>
    </row>
  </sheetData>
  <mergeCells count="1">
    <mergeCell ref="B3:D3"/>
  </mergeCells>
  <hyperlinks>
    <hyperlink ref="D10" location="'Orçamento - Rendimentos'!R1C1" tooltip="" display="Orçamento - Rendimentos"/>
    <hyperlink ref="D11" location="'Orçamento - Despesas'!R1C1" tooltip="" display="Orçamento - Despesas"/>
    <hyperlink ref="D12" location="'Orçamento - Rede'!R1C1" tooltip="" display="Orçamento - Rede"/>
    <hyperlink ref="D13" location="'Orçamento - Desenhos'!R1C1" tooltip="" display="Orçamento - Desenhos"/>
  </hyperlinks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B3"/>
  <sheetViews>
    <sheetView workbookViewId="0" showGridLines="0" defaultGridColor="1"/>
  </sheetViews>
  <sheetFormatPr defaultColWidth="36" defaultRowHeight="19.9" customHeight="1" outlineLevelRow="0" outlineLevelCol="0"/>
  <cols>
    <col min="1" max="1" width="36" style="6" customWidth="1"/>
    <col min="2" max="2" width="12" style="6" customWidth="1"/>
    <col min="3" max="16384" width="36" style="6" customWidth="1"/>
  </cols>
  <sheetData>
    <row r="1" ht="20.45" customHeight="1">
      <c r="A1" t="s" s="7">
        <v>7</v>
      </c>
      <c r="B1" s="8"/>
    </row>
    <row r="2" ht="20.7" customHeight="1">
      <c r="A2" t="s" s="9">
        <v>8</v>
      </c>
      <c r="B2" s="10">
        <v>5500</v>
      </c>
    </row>
    <row r="3" ht="20.45" customHeight="1">
      <c r="A3" t="s" s="11">
        <v>9</v>
      </c>
      <c r="B3" s="12" cm="1">
        <f t="array" ref="B3">SUM(B2:B2)</f>
        <v>5500</v>
      </c>
    </row>
  </sheetData>
  <mergeCells count="1">
    <mergeCell ref="A1:B1"/>
  </mergeCells>
  <pageMargins left="0.5" right="0.5" top="0.5" bottom="0.5" header="0.25" footer="0.25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B12"/>
  <sheetViews>
    <sheetView workbookViewId="0" showGridLines="0" defaultGridColor="1"/>
  </sheetViews>
  <sheetFormatPr defaultColWidth="36" defaultRowHeight="19.9" customHeight="1" outlineLevelRow="0" outlineLevelCol="0"/>
  <cols>
    <col min="1" max="1" width="36" style="13" customWidth="1"/>
    <col min="2" max="2" width="12" style="13" customWidth="1"/>
    <col min="3" max="16384" width="36" style="13" customWidth="1"/>
  </cols>
  <sheetData>
    <row r="1" ht="20.45" customHeight="1">
      <c r="A1" t="s" s="14">
        <v>12</v>
      </c>
      <c r="B1" s="15"/>
    </row>
    <row r="2" ht="20.45" customHeight="1">
      <c r="A2" t="s" s="16">
        <v>13</v>
      </c>
      <c r="B2" s="17">
        <v>109</v>
      </c>
    </row>
    <row r="3" ht="20.2" customHeight="1">
      <c r="A3" t="s" s="18">
        <v>14</v>
      </c>
      <c r="B3" s="19">
        <v>111.5</v>
      </c>
    </row>
    <row r="4" ht="20.2" customHeight="1">
      <c r="A4" t="s" s="18">
        <v>15</v>
      </c>
      <c r="B4" s="20">
        <v>128.52</v>
      </c>
    </row>
    <row r="5" ht="20.2" customHeight="1">
      <c r="A5" t="s" s="18">
        <v>16</v>
      </c>
      <c r="B5" s="19">
        <v>45</v>
      </c>
    </row>
    <row r="6" ht="20.2" customHeight="1">
      <c r="A6" t="s" s="18">
        <v>17</v>
      </c>
      <c r="B6" s="20">
        <v>40</v>
      </c>
    </row>
    <row r="7" ht="20.2" customHeight="1">
      <c r="A7" t="s" s="18">
        <v>18</v>
      </c>
      <c r="B7" s="19">
        <v>20</v>
      </c>
    </row>
    <row r="8" ht="20.2" customHeight="1">
      <c r="A8" t="s" s="18">
        <v>19</v>
      </c>
      <c r="B8" s="20">
        <v>8</v>
      </c>
    </row>
    <row r="9" ht="20.2" customHeight="1">
      <c r="A9" t="s" s="18">
        <v>20</v>
      </c>
      <c r="B9" s="19">
        <v>362.5</v>
      </c>
    </row>
    <row r="10" ht="20.2" customHeight="1">
      <c r="A10" t="s" s="18">
        <v>21</v>
      </c>
      <c r="B10" s="20">
        <v>2165</v>
      </c>
    </row>
    <row r="11" ht="20.45" customHeight="1">
      <c r="A11" t="s" s="21">
        <v>22</v>
      </c>
      <c r="B11" s="22">
        <v>500</v>
      </c>
    </row>
    <row r="12" ht="20.45" customHeight="1">
      <c r="A12" t="s" s="11">
        <v>23</v>
      </c>
      <c r="B12" s="12" cm="1">
        <f t="array" ref="B12">SUM(B2:B11)</f>
        <v>3489.52</v>
      </c>
    </row>
  </sheetData>
  <mergeCells count="1">
    <mergeCell ref="A1:B1"/>
  </mergeCells>
  <pageMargins left="0.5" right="0.5" top="0.5" bottom="0.5" header="0.25" footer="0.25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B2"/>
  <sheetViews>
    <sheetView workbookViewId="0" showGridLines="0" defaultGridColor="1"/>
  </sheetViews>
  <sheetFormatPr defaultColWidth="22.2344" defaultRowHeight="19.9" customHeight="1" outlineLevelRow="0" outlineLevelCol="0"/>
  <cols>
    <col min="1" max="1" width="36" style="23" customWidth="1"/>
    <col min="2" max="2" width="12" style="23" customWidth="1"/>
    <col min="3" max="16384" width="22.2422" style="23" customWidth="1"/>
  </cols>
  <sheetData>
    <row r="1" ht="20.45" customHeight="1">
      <c r="A1" t="s" s="24">
        <v>26</v>
      </c>
      <c r="B1" s="25"/>
    </row>
    <row r="2" ht="20.45" customHeight="1">
      <c r="A2" t="s" s="16">
        <v>27</v>
      </c>
      <c r="B2" s="17" cm="1">
        <f t="array" ref="B2">'Orçamento - Rendimentos'!B3-'Orçamento - Despesas'!B12</f>
        <v>2010.48</v>
      </c>
    </row>
  </sheetData>
  <mergeCells count="1">
    <mergeCell ref="A1:B1"/>
  </mergeCells>
  <pageMargins left="0.5" right="0.5" top="0.5" bottom="0.5" header="0.25" footer="0.25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workbookViewId="0" showGridLines="0" defaultGridColor="1"/>
  </sheetViews>
  <sheetFormatPr defaultColWidth="10" defaultRowHeight="13" customHeight="1" outlineLevelRow="0" outlineLevelCol="0"/>
  <cols>
    <col min="1" max="16384" width="10" customWidth="1"/>
  </cols>
  <sheetData/>
  <pageMargins left="0.5" right="0.5" top="0.5" bottom="0.5" header="0.25" footer="0.25"/>
  <pageSetup firstPageNumber="1" fitToHeight="1" fitToWidth="1" scale="100" useFirstPageNumber="0" orientation="landscape" pageOrder="downThenOver"/>
  <headerFooter>
    <oddFooter>&amp;C&amp;"Helvetica Neue,Regular"&amp;12&amp;K000000&amp;P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